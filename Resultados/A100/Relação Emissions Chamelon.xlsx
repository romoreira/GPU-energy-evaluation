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Chameleon\"/>
    </mc:Choice>
  </mc:AlternateContent>
  <xr:revisionPtr revIDLastSave="0" documentId="13_ncr:1_{60F37761-4A8A-4922-A924-A2924DE19439}" xr6:coauthVersionLast="47" xr6:coauthVersionMax="47" xr10:uidLastSave="{00000000-0000-0000-0000-000000000000}"/>
  <bookViews>
    <workbookView xWindow="-135" yWindow="-135" windowWidth="29070" windowHeight="1575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22" i="1" s="1"/>
  <c r="B20" i="1"/>
  <c r="B24" i="1" s="1"/>
  <c r="B19" i="1"/>
  <c r="B23" i="1" s="1"/>
  <c r="B17" i="1"/>
  <c r="B25" i="1" l="1"/>
  <c r="B29" i="1" s="1"/>
  <c r="B27" i="1" l="1"/>
  <c r="B28" i="1"/>
</calcChain>
</file>

<file path=xl/sharedStrings.xml><?xml version="1.0" encoding="utf-8"?>
<sst xmlns="http://schemas.openxmlformats.org/spreadsheetml/2006/main" count="30" uniqueCount="24">
  <si>
    <t>EXPERIMENTO</t>
  </si>
  <si>
    <t>FACTOR A</t>
  </si>
  <si>
    <t>FACTOR B</t>
  </si>
  <si>
    <t>Y1</t>
  </si>
  <si>
    <t>Y2</t>
  </si>
  <si>
    <t>Y3</t>
  </si>
  <si>
    <t>Y4</t>
  </si>
  <si>
    <t>-1 É 135</t>
  </si>
  <si>
    <t>-1 É POUCOS (10)</t>
  </si>
  <si>
    <t>1 É 360</t>
  </si>
  <si>
    <t>1 É MUITOS (100)</t>
  </si>
  <si>
    <t>q0</t>
  </si>
  <si>
    <t>qA</t>
  </si>
  <si>
    <t>qB</t>
  </si>
  <si>
    <t>qAB</t>
  </si>
  <si>
    <t>SSA</t>
  </si>
  <si>
    <t>SSB</t>
  </si>
  <si>
    <t>SSAB</t>
  </si>
  <si>
    <t>SST</t>
  </si>
  <si>
    <t>INFLU A</t>
  </si>
  <si>
    <t>INFLU B</t>
  </si>
  <si>
    <t>INFLU AB</t>
  </si>
  <si>
    <t xml:space="preserve"> Response variable : Emissions</t>
  </si>
  <si>
    <t xml:space="preserve"> Response variable : 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</si>
</sst>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D15" sqref="D15"/>
    </sheetView>
  </sheetViews>
  <sheetFormatPr defaultRowHeight="15" x14ac:dyDescent="0.25"/>
  <cols>
    <col min="1" max="1" width="13.7109375" bestFit="1" customWidth="1"/>
    <col min="2" max="2" width="12.42578125" bestFit="1" customWidth="1"/>
    <col min="3" max="3" width="16" bestFit="1" customWidth="1"/>
    <col min="4" max="4" width="3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22</v>
      </c>
    </row>
    <row r="2" spans="1:5" x14ac:dyDescent="0.25">
      <c r="A2">
        <v>1</v>
      </c>
      <c r="B2">
        <v>-1</v>
      </c>
      <c r="C2">
        <v>-1</v>
      </c>
      <c r="D2" t="s">
        <v>3</v>
      </c>
    </row>
    <row r="3" spans="1:5" x14ac:dyDescent="0.25">
      <c r="A3">
        <v>2</v>
      </c>
      <c r="B3">
        <v>1</v>
      </c>
      <c r="C3">
        <v>-1</v>
      </c>
      <c r="D3" t="s">
        <v>4</v>
      </c>
    </row>
    <row r="4" spans="1:5" x14ac:dyDescent="0.25">
      <c r="A4">
        <v>3</v>
      </c>
      <c r="B4">
        <v>-1</v>
      </c>
      <c r="C4">
        <v>1</v>
      </c>
      <c r="D4" t="s">
        <v>5</v>
      </c>
    </row>
    <row r="5" spans="1:5" x14ac:dyDescent="0.25">
      <c r="A5" t="s">
        <v>3</v>
      </c>
      <c r="B5" t="s">
        <v>4</v>
      </c>
      <c r="C5" t="s">
        <v>5</v>
      </c>
      <c r="D5" t="s">
        <v>6</v>
      </c>
    </row>
    <row r="6" spans="1:5" x14ac:dyDescent="0.25">
      <c r="B6" t="s">
        <v>7</v>
      </c>
      <c r="C6" t="s">
        <v>8</v>
      </c>
    </row>
    <row r="7" spans="1:5" x14ac:dyDescent="0.25">
      <c r="B7" t="s">
        <v>9</v>
      </c>
      <c r="C7" t="s">
        <v>10</v>
      </c>
    </row>
    <row r="10" spans="1:5" x14ac:dyDescent="0.25">
      <c r="A10" t="s">
        <v>0</v>
      </c>
      <c r="B10" t="s">
        <v>1</v>
      </c>
      <c r="C10" t="s">
        <v>2</v>
      </c>
      <c r="D10" t="s">
        <v>23</v>
      </c>
    </row>
    <row r="11" spans="1:5" x14ac:dyDescent="0.25">
      <c r="A11">
        <v>1</v>
      </c>
      <c r="B11">
        <v>-1</v>
      </c>
      <c r="C11">
        <v>-1</v>
      </c>
      <c r="D11">
        <v>5.7200981010948199E-2</v>
      </c>
    </row>
    <row r="12" spans="1:5" x14ac:dyDescent="0.25">
      <c r="A12">
        <v>2</v>
      </c>
      <c r="B12">
        <v>1</v>
      </c>
      <c r="C12">
        <v>-1</v>
      </c>
      <c r="D12">
        <v>7.95771786643064E-2</v>
      </c>
    </row>
    <row r="13" spans="1:5" x14ac:dyDescent="0.25">
      <c r="A13">
        <v>3</v>
      </c>
      <c r="B13">
        <v>-1</v>
      </c>
      <c r="C13">
        <v>1</v>
      </c>
      <c r="D13">
        <v>0.34031644513508003</v>
      </c>
    </row>
    <row r="14" spans="1:5" x14ac:dyDescent="0.25">
      <c r="A14">
        <v>4</v>
      </c>
      <c r="B14">
        <v>1</v>
      </c>
      <c r="C14">
        <v>1</v>
      </c>
      <c r="D14">
        <v>0.53348547604906804</v>
      </c>
    </row>
    <row r="15" spans="1:5" x14ac:dyDescent="0.25">
      <c r="E15" s="1"/>
    </row>
    <row r="17" spans="1:2" x14ac:dyDescent="0.25">
      <c r="A17" t="s">
        <v>11</v>
      </c>
      <c r="B17">
        <f>1/4*(D11+D12+D13+D14)</f>
        <v>0.25264502021485069</v>
      </c>
    </row>
    <row r="18" spans="1:2" x14ac:dyDescent="0.25">
      <c r="A18" t="s">
        <v>12</v>
      </c>
      <c r="B18">
        <f>1/4*(-D11+D12-D13+D14)</f>
        <v>5.3886307141836551E-2</v>
      </c>
    </row>
    <row r="19" spans="1:2" x14ac:dyDescent="0.25">
      <c r="A19" t="s">
        <v>13</v>
      </c>
      <c r="B19">
        <f>1/4*(-D11-D12+D13+D14)</f>
        <v>0.18425594037722337</v>
      </c>
    </row>
    <row r="20" spans="1:2" x14ac:dyDescent="0.25">
      <c r="A20" t="s">
        <v>14</v>
      </c>
      <c r="B20">
        <f>1/4*(D11-D12-D13+D14)</f>
        <v>4.2698208315157457E-2</v>
      </c>
    </row>
    <row r="22" spans="1:2" x14ac:dyDescent="0.25">
      <c r="A22" t="s">
        <v>15</v>
      </c>
      <c r="B22">
        <f>2^2*(B18)^2</f>
        <v>1.1614936389537379E-2</v>
      </c>
    </row>
    <row r="23" spans="1:2" x14ac:dyDescent="0.25">
      <c r="A23" t="s">
        <v>16</v>
      </c>
      <c r="B23">
        <f>2^2*(B19)^2</f>
        <v>0.13580100625717959</v>
      </c>
    </row>
    <row r="24" spans="1:2" x14ac:dyDescent="0.25">
      <c r="A24" t="s">
        <v>17</v>
      </c>
      <c r="B24">
        <f>2^2*(B20)^2</f>
        <v>7.2925479732983255E-3</v>
      </c>
    </row>
    <row r="25" spans="1:2" x14ac:dyDescent="0.25">
      <c r="A25" t="s">
        <v>18</v>
      </c>
      <c r="B25">
        <f>(B22+B23+B24)</f>
        <v>0.15470849062001527</v>
      </c>
    </row>
    <row r="27" spans="1:2" x14ac:dyDescent="0.25">
      <c r="A27" t="s">
        <v>19</v>
      </c>
      <c r="B27">
        <f>B22/B25</f>
        <v>7.5076269847821189E-2</v>
      </c>
    </row>
    <row r="28" spans="1:2" x14ac:dyDescent="0.25">
      <c r="A28" t="s">
        <v>20</v>
      </c>
      <c r="B28">
        <f>B23/B25</f>
        <v>0.87778638207210624</v>
      </c>
    </row>
    <row r="29" spans="1:2" x14ac:dyDescent="0.25">
      <c r="A29" t="s">
        <v>21</v>
      </c>
      <c r="B29">
        <f>B24/B25</f>
        <v>4.7137348080072722E-2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Ribeiro</dc:creator>
  <cp:lastModifiedBy>Particular</cp:lastModifiedBy>
  <dcterms:created xsi:type="dcterms:W3CDTF">2015-06-05T18:19:34Z</dcterms:created>
  <dcterms:modified xsi:type="dcterms:W3CDTF">2026-02-10T12:14:12Z</dcterms:modified>
</cp:coreProperties>
</file>