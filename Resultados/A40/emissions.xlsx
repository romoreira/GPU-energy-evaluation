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"/>
    </mc:Choice>
  </mc:AlternateContent>
  <xr:revisionPtr revIDLastSave="2" documentId="8_{909799FF-4112-4CB1-9826-5BB9A1AF1B64}" xr6:coauthVersionLast="47" xr6:coauthVersionMax="47" xr10:uidLastSave="{D6323A60-3791-4F4F-A742-189109571B4B}"/>
  <bookViews>
    <workbookView xWindow="-120" yWindow="-120" windowWidth="29040" windowHeight="15720" xr2:uid="{99E5399B-092B-4030-AD65-691E4E7AB19F}"/>
  </bookViews>
  <sheets>
    <sheet name="Emission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4" l="1"/>
  <c r="B24" i="4" s="1"/>
  <c r="B19" i="4"/>
  <c r="B23" i="4" s="1"/>
  <c r="B18" i="4"/>
  <c r="B22" i="4" s="1"/>
  <c r="B17" i="4"/>
  <c r="B25" i="4" l="1"/>
  <c r="B28" i="4" s="1"/>
  <c r="B29" i="4"/>
  <c r="B27" i="4" l="1"/>
</calcChain>
</file>

<file path=xl/sharedStrings.xml><?xml version="1.0" encoding="utf-8"?>
<sst xmlns="http://schemas.openxmlformats.org/spreadsheetml/2006/main" count="30" uniqueCount="23">
  <si>
    <t>EXPERIMENTO</t>
  </si>
  <si>
    <t>FACTOR A</t>
  </si>
  <si>
    <t>FACTOR B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</si>
  <si>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</si>
  <si>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</si>
  <si>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</si>
  <si>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</si>
  <si>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</si>
  <si>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</si>
  <si>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</si>
  <si>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</si>
  <si>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</si>
  <si>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</si>
  <si>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</si>
  <si>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</si>
  <si>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</si>
  <si>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</si>
  <si>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</si>
  <si>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</si>
  <si>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</si>
  <si>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</si>
  <si>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</si>
  <si>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 xml:space="preserve"> Response variable :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</si>
</sst>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7911-F9C7-4328-B7F0-A557B5307871}">
  <dimension ref="A1:D29"/>
  <sheetViews>
    <sheetView tabSelected="1" workbookViewId="0">
      <selection activeCell="F16" sqref="F16"/>
    </sheetView>
  </sheetViews>
  <sheetFormatPr defaultRowHeight="15" x14ac:dyDescent="0.25"/>
  <cols>
    <col min="1" max="1" width="13.7109375" bestFit="1" customWidth="1"/>
    <col min="2" max="2" width="12" bestFit="1" customWidth="1"/>
    <col min="3" max="3" width="16" bestFit="1" customWidth="1"/>
    <col min="4" max="4" width="3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22</v>
      </c>
    </row>
    <row r="2" spans="1:4" x14ac:dyDescent="0.25">
      <c r="A2">
        <v>1</v>
      </c>
      <c r="B2">
        <v>-1</v>
      </c>
      <c r="C2">
        <v>-1</v>
      </c>
      <c r="D2" t="s">
        <v>3</v>
      </c>
    </row>
    <row r="3" spans="1:4" x14ac:dyDescent="0.25">
      <c r="A3">
        <v>2</v>
      </c>
      <c r="B3">
        <v>1</v>
      </c>
      <c r="C3">
        <v>-1</v>
      </c>
      <c r="D3" t="s">
        <v>4</v>
      </c>
    </row>
    <row r="4" spans="1:4" x14ac:dyDescent="0.25">
      <c r="A4">
        <v>3</v>
      </c>
      <c r="B4">
        <v>-1</v>
      </c>
      <c r="C4">
        <v>1</v>
      </c>
      <c r="D4" t="s">
        <v>5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  <row r="6" spans="1:4" x14ac:dyDescent="0.25">
      <c r="B6" t="s">
        <v>7</v>
      </c>
      <c r="C6" t="s">
        <v>8</v>
      </c>
    </row>
    <row r="7" spans="1:4" x14ac:dyDescent="0.25">
      <c r="B7" t="s">
        <v>9</v>
      </c>
      <c r="C7" t="s">
        <v>10</v>
      </c>
    </row>
    <row r="10" spans="1:4" x14ac:dyDescent="0.25">
      <c r="A10" t="s">
        <v>0</v>
      </c>
      <c r="B10" t="s">
        <v>1</v>
      </c>
      <c r="C10" t="s">
        <v>2</v>
      </c>
      <c r="D10" t="s">
        <v>22</v>
      </c>
    </row>
    <row r="11" spans="1:4" x14ac:dyDescent="0.25">
      <c r="A11">
        <v>1</v>
      </c>
      <c r="B11">
        <v>-1</v>
      </c>
      <c r="C11">
        <v>-1</v>
      </c>
      <c r="D11">
        <v>0.27536626870101</v>
      </c>
    </row>
    <row r="12" spans="1:4" x14ac:dyDescent="0.25">
      <c r="A12">
        <v>2</v>
      </c>
      <c r="B12">
        <v>1</v>
      </c>
      <c r="C12">
        <v>-1</v>
      </c>
      <c r="D12">
        <v>0.38495440235461897</v>
      </c>
    </row>
    <row r="13" spans="1:4" x14ac:dyDescent="0.25">
      <c r="A13">
        <v>3</v>
      </c>
      <c r="B13">
        <v>-1</v>
      </c>
      <c r="C13">
        <v>1</v>
      </c>
      <c r="D13">
        <v>2.1181964469504999</v>
      </c>
    </row>
    <row r="14" spans="1:4" x14ac:dyDescent="0.25">
      <c r="A14">
        <v>4</v>
      </c>
      <c r="B14">
        <v>1</v>
      </c>
      <c r="C14">
        <v>1</v>
      </c>
      <c r="D14">
        <v>3.1160441495789599</v>
      </c>
    </row>
    <row r="17" spans="1:2" x14ac:dyDescent="0.25">
      <c r="A17" t="s">
        <v>11</v>
      </c>
      <c r="B17">
        <f>1/4*(D11+D12+D13+D14)</f>
        <v>1.4736403168962722</v>
      </c>
    </row>
    <row r="18" spans="1:2" x14ac:dyDescent="0.25">
      <c r="A18" t="s">
        <v>12</v>
      </c>
      <c r="B18">
        <f>1/4*(-D11+D12-D13+D14)</f>
        <v>0.27685895907051727</v>
      </c>
    </row>
    <row r="19" spans="1:2" x14ac:dyDescent="0.25">
      <c r="A19" t="s">
        <v>13</v>
      </c>
      <c r="B19">
        <f>1/4*(-D11-D12+D13+D14)</f>
        <v>1.1434799813684577</v>
      </c>
    </row>
    <row r="20" spans="1:2" x14ac:dyDescent="0.25">
      <c r="A20" t="s">
        <v>14</v>
      </c>
      <c r="B20">
        <f>1/4*(D11-D12-D13+D14)</f>
        <v>0.22206489224371273</v>
      </c>
    </row>
    <row r="22" spans="1:2" x14ac:dyDescent="0.25">
      <c r="A22" t="s">
        <v>15</v>
      </c>
      <c r="B22">
        <f>2^2*(B18)^2</f>
        <v>0.30660353287044145</v>
      </c>
    </row>
    <row r="23" spans="1:2" x14ac:dyDescent="0.25">
      <c r="A23" t="s">
        <v>16</v>
      </c>
      <c r="B23">
        <f>2^2*(B19)^2</f>
        <v>5.230185871161634</v>
      </c>
    </row>
    <row r="24" spans="1:2" x14ac:dyDescent="0.25">
      <c r="A24" t="s">
        <v>17</v>
      </c>
      <c r="B24">
        <f>2^2*(B20)^2</f>
        <v>0.197251265468847</v>
      </c>
    </row>
    <row r="25" spans="1:2" x14ac:dyDescent="0.25">
      <c r="A25" t="s">
        <v>18</v>
      </c>
      <c r="B25">
        <f>(B22+B23+B24)</f>
        <v>5.7340406695009225</v>
      </c>
    </row>
    <row r="27" spans="1:2" x14ac:dyDescent="0.25">
      <c r="A27" t="s">
        <v>19</v>
      </c>
      <c r="B27">
        <f>B22/B25</f>
        <v>5.3470763557930519E-2</v>
      </c>
    </row>
    <row r="28" spans="1:2" x14ac:dyDescent="0.25">
      <c r="A28" t="s">
        <v>20</v>
      </c>
      <c r="B28">
        <f>B23/B25</f>
        <v>0.9121291899760553</v>
      </c>
    </row>
    <row r="29" spans="1:2" x14ac:dyDescent="0.25">
      <c r="A29" t="s">
        <v>21</v>
      </c>
      <c r="B29">
        <f>B24/B25</f>
        <v>3.4400046466014217E-2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Rodrigo Moreira</cp:lastModifiedBy>
  <dcterms:created xsi:type="dcterms:W3CDTF">2025-12-16T15:22:53Z</dcterms:created>
  <dcterms:modified xsi:type="dcterms:W3CDTF">2026-02-25T16:54:03Z</dcterms:modified>
</cp:coreProperties>
</file>